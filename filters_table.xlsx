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uyiz\Documents\Work\CDRP\SENSOR_REQUIREMENTS\"/>
    </mc:Choice>
  </mc:AlternateContent>
  <xr:revisionPtr revIDLastSave="0" documentId="13_ncr:1_{348D454E-8A01-45C0-9B72-0CE7D02FC50E}" xr6:coauthVersionLast="47" xr6:coauthVersionMax="47" xr10:uidLastSave="{00000000-0000-0000-0000-000000000000}"/>
  <bookViews>
    <workbookView xWindow="-120" yWindow="-120" windowWidth="51840" windowHeight="21120" activeTab="6" xr2:uid="{00000000-000D-0000-FFFF-FFFF00000000}"/>
  </bookViews>
  <sheets>
    <sheet name="ListOfAvaiabellFiletrs" sheetId="1" r:id="rId1"/>
    <sheet name="SystemFilters" sheetId="2" r:id="rId2"/>
    <sheet name="gainCalibrationTable" sheetId="3" r:id="rId3"/>
    <sheet name="default_threshold_table" sheetId="4" r:id="rId4"/>
    <sheet name="DynamicThGainPerbin" sheetId="5" r:id="rId5"/>
    <sheet name="AmplitudeCalibrationTable" sheetId="6" r:id="rId6"/>
    <sheet name="PhaseCalibTab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7" l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25" i="7"/>
  <c r="C28" i="6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27" i="6"/>
  <c r="C25" i="6"/>
</calcChain>
</file>

<file path=xl/sharedStrings.xml><?xml version="1.0" encoding="utf-8"?>
<sst xmlns="http://schemas.openxmlformats.org/spreadsheetml/2006/main" count="157" uniqueCount="115">
  <si>
    <t>0.35-2.4</t>
  </si>
  <si>
    <t>2.75-4.75</t>
  </si>
  <si>
    <t>2-4</t>
  </si>
  <si>
    <t>4-6</t>
  </si>
  <si>
    <t>6-8</t>
  </si>
  <si>
    <t>8-10</t>
  </si>
  <si>
    <t>10-12</t>
  </si>
  <si>
    <t>12-14</t>
  </si>
  <si>
    <t>14-16</t>
  </si>
  <si>
    <t>16-18</t>
  </si>
  <si>
    <t>FilterID</t>
  </si>
  <si>
    <t>SystemBand</t>
  </si>
  <si>
    <t>EffPassBand_MIN</t>
  </si>
  <si>
    <t>EffPassBand_MAX</t>
  </si>
  <si>
    <t>TF1_VSW</t>
  </si>
  <si>
    <t>TF1_VH</t>
  </si>
  <si>
    <t>TF1_VL</t>
  </si>
  <si>
    <t>TF3_VSW</t>
  </si>
  <si>
    <t>TF3_VH</t>
  </si>
  <si>
    <t>TF3_VL</t>
  </si>
  <si>
    <t>TF2_HPF_SW</t>
  </si>
  <si>
    <t>TF2_HPF_STATE</t>
  </si>
  <si>
    <t>TF2_LPF_SW</t>
  </si>
  <si>
    <t>TF2_LPF_STATE</t>
  </si>
  <si>
    <t>logical filter ID</t>
  </si>
  <si>
    <t>System Band</t>
  </si>
  <si>
    <t>Main band define the minimum and maximum rangeg of the filter options are 0.35-2.4/2.75-4.75,2-4/4-6/6-8/8-10/10-12/12-14/14-15/16-18</t>
  </si>
  <si>
    <t>EffPassBand_MIN, EffPassBand_MAX</t>
  </si>
  <si>
    <t>define seletable band within the SystmeBand, this selectable sub band is achived by Tunnenble filter setting</t>
  </si>
  <si>
    <t>Remarks</t>
  </si>
  <si>
    <t xml:space="preserve"> 2-6 QUAD mode (RFSCO0 2-4, RFSOC1 4-6)</t>
  </si>
  <si>
    <t>2-4 OCTAL mode</t>
  </si>
  <si>
    <t>2-18 SINGLE mode</t>
  </si>
  <si>
    <t>LO_FREQ</t>
  </si>
  <si>
    <t>SystemFilterID</t>
  </si>
  <si>
    <t>Ch1_FID</t>
  </si>
  <si>
    <t>Ch2_FID</t>
  </si>
  <si>
    <t>Ch3_FID</t>
  </si>
  <si>
    <t>Ch4_FID</t>
  </si>
  <si>
    <t>Ch5_FID</t>
  </si>
  <si>
    <t>Ch6_FID</t>
  </si>
  <si>
    <t>Ch7_FID</t>
  </si>
  <si>
    <t>Ch8_FID</t>
  </si>
  <si>
    <t>Ch1_GAIN</t>
  </si>
  <si>
    <t>Ch8_GAIN</t>
  </si>
  <si>
    <t>Ch7_GAIN</t>
  </si>
  <si>
    <t>Ch6_GAIN</t>
  </si>
  <si>
    <t>Ch5_GAIN</t>
  </si>
  <si>
    <t>Ch4_GAIN</t>
  </si>
  <si>
    <t>Ch3_GAIN</t>
  </si>
  <si>
    <t>Ch2_GAIN</t>
  </si>
  <si>
    <t>H</t>
  </si>
  <si>
    <t>M</t>
  </si>
  <si>
    <t>L</t>
  </si>
  <si>
    <t>logical system filter ID</t>
  </si>
  <si>
    <t>Ch&lt;I&gt;_FID</t>
  </si>
  <si>
    <t>select a logical filter ID form ListOfAvailable filters</t>
  </si>
  <si>
    <t>Ch&lt;I&gt;_GAIN</t>
  </si>
  <si>
    <t>3 option H (Hig gain), M (mid Gain), L (Low gain)</t>
  </si>
  <si>
    <t>Ch1_Attn</t>
  </si>
  <si>
    <t>DCA1_IN</t>
  </si>
  <si>
    <t>DCA1_OUT</t>
  </si>
  <si>
    <t>Ch2_Attn</t>
  </si>
  <si>
    <t>DCA2_IN</t>
  </si>
  <si>
    <t>DCA2_OUT</t>
  </si>
  <si>
    <t>Ch3_Attn</t>
  </si>
  <si>
    <t>DCA3_IN</t>
  </si>
  <si>
    <t>DCA3_OUT</t>
  </si>
  <si>
    <t>Ch4_Attn</t>
  </si>
  <si>
    <t>DCA4_IN</t>
  </si>
  <si>
    <t>DCA4_OUT</t>
  </si>
  <si>
    <t>Ch5_Attn</t>
  </si>
  <si>
    <t>DCA5_IN</t>
  </si>
  <si>
    <t>DCA5_OUT</t>
  </si>
  <si>
    <t>Ch6_Attn</t>
  </si>
  <si>
    <t>DCA6_IN</t>
  </si>
  <si>
    <t>DCA6_OUT</t>
  </si>
  <si>
    <t>Ch7_Attn</t>
  </si>
  <si>
    <t>DCA7_IN</t>
  </si>
  <si>
    <t>DCA7_OUT</t>
  </si>
  <si>
    <t>DCA8_IN</t>
  </si>
  <si>
    <t>Ch8_Attn</t>
  </si>
  <si>
    <t>DCA8_OUT</t>
  </si>
  <si>
    <t>CH0_THRESH</t>
  </si>
  <si>
    <t>`</t>
  </si>
  <si>
    <t>CH1_THRESH</t>
  </si>
  <si>
    <t>CH2_THRESH</t>
  </si>
  <si>
    <t>CH3_THRESH</t>
  </si>
  <si>
    <t>CH4_THRESH</t>
  </si>
  <si>
    <t>CH5_THRESH</t>
  </si>
  <si>
    <t>CH6_THRESH</t>
  </si>
  <si>
    <t>CH7_THRESH</t>
  </si>
  <si>
    <t>CH8_THRESH</t>
  </si>
  <si>
    <t>CH0_LAN0_TH_GAIN</t>
  </si>
  <si>
    <t>[20,23,16,18,27,12,19,12,13,15]</t>
  </si>
  <si>
    <t>[0,0,3,0,0,4,0,0]</t>
  </si>
  <si>
    <t>CH0_LAN9_TH_GAIN</t>
  </si>
  <si>
    <t>….</t>
  </si>
  <si>
    <t>…</t>
  </si>
  <si>
    <t>filterID</t>
  </si>
  <si>
    <t>frq</t>
  </si>
  <si>
    <t>Ch2_Amp</t>
  </si>
  <si>
    <t>Ch1_Amp</t>
  </si>
  <si>
    <t>Ch3_Amp</t>
  </si>
  <si>
    <t>Ch4_Amp</t>
  </si>
  <si>
    <t>Ch5_Amp</t>
  </si>
  <si>
    <t>Ch6_Amp</t>
  </si>
  <si>
    <t>Ch7_Amp</t>
  </si>
  <si>
    <t>Ch8_Amp</t>
  </si>
  <si>
    <t>dph_10</t>
  </si>
  <si>
    <t>dph2_0</t>
  </si>
  <si>
    <t>Dph3_0</t>
  </si>
  <si>
    <t>Dph5_4</t>
  </si>
  <si>
    <t>dph6_4</t>
  </si>
  <si>
    <t>dph7_4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</si>
</sst>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sqref="A1:O11"/>
    </sheetView>
  </sheetViews>
  <sheetFormatPr defaultRowHeight="15" x14ac:dyDescent="0.25"/>
  <cols>
    <col min="2" max="2" width="14.140625" customWidth="1"/>
    <col min="3" max="3" width="19.85546875" customWidth="1"/>
    <col min="4" max="4" width="24.140625" customWidth="1"/>
    <col min="5" max="5" width="11.5703125" customWidth="1"/>
    <col min="6" max="6" width="11" customWidth="1"/>
    <col min="7" max="7" width="12" customWidth="1"/>
    <col min="8" max="8" width="14.85546875" customWidth="1"/>
    <col min="9" max="9" width="17" customWidth="1"/>
    <col min="10" max="10" width="15.85546875" customWidth="1"/>
    <col min="11" max="11" width="21.140625" customWidth="1"/>
    <col min="12" max="12" width="12.140625" customWidth="1"/>
    <col min="13" max="13" width="10.85546875" customWidth="1"/>
    <col min="14" max="15" width="10.42578125" customWidth="1"/>
  </cols>
  <sheetData>
    <row r="1" spans="1:15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17</v>
      </c>
      <c r="M1" s="6" t="s">
        <v>18</v>
      </c>
      <c r="N1" s="6" t="s">
        <v>19</v>
      </c>
      <c r="O1" s="6" t="s">
        <v>33</v>
      </c>
    </row>
    <row r="2" spans="1:15" x14ac:dyDescent="0.25">
      <c r="A2" s="6">
        <v>1</v>
      </c>
      <c r="B2" s="7" t="s">
        <v>0</v>
      </c>
      <c r="C2" s="6">
        <v>0.35</v>
      </c>
      <c r="D2" s="6">
        <v>2.4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6">
        <v>2</v>
      </c>
      <c r="B3" s="7" t="s">
        <v>1</v>
      </c>
      <c r="C3" s="6">
        <v>3</v>
      </c>
      <c r="D3" s="6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>
        <v>3</v>
      </c>
      <c r="B4" s="7" t="s">
        <v>2</v>
      </c>
      <c r="C4" s="6">
        <v>2</v>
      </c>
      <c r="D4" s="6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>
        <v>4</v>
      </c>
      <c r="B5" s="7" t="s">
        <v>3</v>
      </c>
      <c r="C5" s="6">
        <v>4</v>
      </c>
      <c r="D5" s="6">
        <v>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>
        <v>5</v>
      </c>
      <c r="B6" s="7" t="s">
        <v>4</v>
      </c>
      <c r="C6" s="6">
        <v>6</v>
      </c>
      <c r="D6" s="6">
        <v>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>
        <v>6</v>
      </c>
      <c r="B7" s="7" t="s">
        <v>5</v>
      </c>
      <c r="C7" s="6">
        <v>8</v>
      </c>
      <c r="D7" s="6"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>
        <v>7</v>
      </c>
      <c r="B8" s="7" t="s">
        <v>6</v>
      </c>
      <c r="C8" s="6">
        <v>10</v>
      </c>
      <c r="D8" s="6">
        <v>12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>
        <v>8</v>
      </c>
      <c r="B9" s="7" t="s">
        <v>7</v>
      </c>
      <c r="C9" s="6">
        <v>12</v>
      </c>
      <c r="D9" s="6">
        <v>14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6">
        <v>9</v>
      </c>
      <c r="B10" s="7" t="s">
        <v>8</v>
      </c>
      <c r="C10" s="6">
        <v>14</v>
      </c>
      <c r="D10" s="6">
        <v>16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6">
        <v>10</v>
      </c>
      <c r="B11" s="7" t="s">
        <v>9</v>
      </c>
      <c r="C11" s="6">
        <v>16</v>
      </c>
      <c r="D11" s="6">
        <v>18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28" spans="2:14" x14ac:dyDescent="0.25">
      <c r="B28" s="1" t="s">
        <v>10</v>
      </c>
      <c r="C28" s="1"/>
      <c r="D28" s="1" t="s">
        <v>24</v>
      </c>
      <c r="E28" s="1"/>
      <c r="F28" s="1"/>
      <c r="G28" s="1"/>
      <c r="H28" s="1"/>
      <c r="I28" s="1"/>
      <c r="J28" s="1"/>
      <c r="K28" s="1"/>
      <c r="L28" s="1"/>
      <c r="M28" s="2"/>
      <c r="N28" s="2"/>
    </row>
    <row r="29" spans="2:14" x14ac:dyDescent="0.25">
      <c r="B29" s="1" t="s">
        <v>25</v>
      </c>
      <c r="C29" s="1"/>
      <c r="D29" s="1" t="s">
        <v>26</v>
      </c>
      <c r="E29" s="1"/>
      <c r="F29" s="1"/>
      <c r="G29" s="1"/>
      <c r="H29" s="1"/>
      <c r="I29" s="1"/>
      <c r="J29" s="1"/>
      <c r="K29" s="1"/>
      <c r="L29" s="1"/>
      <c r="M29" s="2"/>
      <c r="N29" s="2"/>
    </row>
    <row r="30" spans="2:14" x14ac:dyDescent="0.25">
      <c r="B30" s="1" t="s">
        <v>27</v>
      </c>
      <c r="C30" s="1"/>
      <c r="D30" s="1" t="s">
        <v>28</v>
      </c>
      <c r="E30" s="1"/>
      <c r="F30" s="1"/>
      <c r="G30" s="1"/>
      <c r="H30" s="1"/>
      <c r="I30" s="1"/>
      <c r="J30" s="1"/>
      <c r="K30" s="1"/>
      <c r="L30" s="1"/>
    </row>
  </sheetData>
  <mergeCells count="6">
    <mergeCell ref="B30:C30"/>
    <mergeCell ref="D30:L30"/>
    <mergeCell ref="D28:L28"/>
    <mergeCell ref="D29:L29"/>
    <mergeCell ref="B28:C28"/>
    <mergeCell ref="B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9041-7AE6-4F59-80B3-611882ED6E7D}">
  <dimension ref="A1:R14"/>
  <sheetViews>
    <sheetView workbookViewId="0">
      <selection sqref="A1:I4"/>
    </sheetView>
  </sheetViews>
  <sheetFormatPr defaultRowHeight="15" x14ac:dyDescent="0.25"/>
  <cols>
    <col min="1" max="1" width="19" customWidth="1"/>
    <col min="2" max="17" width="9.7109375" customWidth="1"/>
    <col min="18" max="18" width="49.28515625" style="3" customWidth="1"/>
  </cols>
  <sheetData>
    <row r="1" spans="1:18" x14ac:dyDescent="0.25">
      <c r="A1" s="6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50</v>
      </c>
      <c r="L1" s="4" t="s">
        <v>49</v>
      </c>
      <c r="M1" s="4" t="s">
        <v>48</v>
      </c>
      <c r="N1" s="4" t="s">
        <v>47</v>
      </c>
      <c r="O1" s="4" t="s">
        <v>46</v>
      </c>
      <c r="P1" s="4" t="s">
        <v>45</v>
      </c>
      <c r="Q1" s="4" t="s">
        <v>44</v>
      </c>
      <c r="R1" s="5" t="s">
        <v>29</v>
      </c>
    </row>
    <row r="2" spans="1:18" x14ac:dyDescent="0.25">
      <c r="A2" s="6"/>
      <c r="B2" s="5">
        <v>3</v>
      </c>
      <c r="C2" s="5">
        <v>3</v>
      </c>
      <c r="D2" s="5">
        <v>3</v>
      </c>
      <c r="E2" s="5">
        <v>3</v>
      </c>
      <c r="F2" s="5">
        <v>4</v>
      </c>
      <c r="G2" s="5">
        <v>4</v>
      </c>
      <c r="H2" s="5">
        <v>4</v>
      </c>
      <c r="I2" s="5">
        <v>4</v>
      </c>
      <c r="J2" s="5" t="s">
        <v>51</v>
      </c>
      <c r="K2" s="5" t="s">
        <v>51</v>
      </c>
      <c r="L2" s="5" t="s">
        <v>51</v>
      </c>
      <c r="M2" s="5" t="s">
        <v>51</v>
      </c>
      <c r="N2" s="5" t="s">
        <v>52</v>
      </c>
      <c r="O2" s="5" t="s">
        <v>52</v>
      </c>
      <c r="P2" s="5" t="s">
        <v>52</v>
      </c>
      <c r="Q2" s="5" t="s">
        <v>52</v>
      </c>
      <c r="R2" s="5" t="s">
        <v>30</v>
      </c>
    </row>
    <row r="3" spans="1:18" x14ac:dyDescent="0.25">
      <c r="A3" s="6"/>
      <c r="B3" s="5">
        <v>3</v>
      </c>
      <c r="C3" s="5">
        <v>3</v>
      </c>
      <c r="D3" s="5">
        <v>3</v>
      </c>
      <c r="E3" s="5">
        <v>3</v>
      </c>
      <c r="F3" s="5">
        <v>3</v>
      </c>
      <c r="G3" s="5">
        <v>3</v>
      </c>
      <c r="H3" s="5">
        <v>3</v>
      </c>
      <c r="I3" s="5">
        <v>3</v>
      </c>
      <c r="J3" s="5" t="s">
        <v>53</v>
      </c>
      <c r="K3" s="5" t="s">
        <v>53</v>
      </c>
      <c r="L3" s="5" t="s">
        <v>53</v>
      </c>
      <c r="M3" s="5" t="s">
        <v>53</v>
      </c>
      <c r="N3" s="5" t="s">
        <v>53</v>
      </c>
      <c r="O3" s="5" t="s">
        <v>53</v>
      </c>
      <c r="P3" s="5" t="s">
        <v>53</v>
      </c>
      <c r="Q3" s="5" t="s">
        <v>53</v>
      </c>
      <c r="R3" s="5" t="s">
        <v>31</v>
      </c>
    </row>
    <row r="4" spans="1:18" x14ac:dyDescent="0.25">
      <c r="A4" s="6"/>
      <c r="B4" s="5">
        <v>3</v>
      </c>
      <c r="C4" s="5">
        <v>4</v>
      </c>
      <c r="D4" s="5">
        <v>5</v>
      </c>
      <c r="E4" s="5">
        <v>6</v>
      </c>
      <c r="F4" s="5">
        <v>7</v>
      </c>
      <c r="G4" s="5">
        <v>8</v>
      </c>
      <c r="H4" s="5">
        <v>9</v>
      </c>
      <c r="I4" s="5">
        <v>10</v>
      </c>
      <c r="J4" s="5" t="s">
        <v>51</v>
      </c>
      <c r="K4" s="5" t="s">
        <v>52</v>
      </c>
      <c r="L4" s="5" t="s">
        <v>52</v>
      </c>
      <c r="M4" s="5" t="s">
        <v>53</v>
      </c>
      <c r="N4" s="5" t="s">
        <v>51</v>
      </c>
      <c r="O4" s="5" t="s">
        <v>51</v>
      </c>
      <c r="P4" s="5" t="s">
        <v>51</v>
      </c>
      <c r="Q4" s="5" t="s">
        <v>51</v>
      </c>
      <c r="R4" s="5" t="s">
        <v>32</v>
      </c>
    </row>
    <row r="12" spans="1:18" x14ac:dyDescent="0.25">
      <c r="B12" s="1" t="s">
        <v>34</v>
      </c>
      <c r="C12" s="1"/>
      <c r="D12" s="1" t="s">
        <v>54</v>
      </c>
      <c r="E12" s="1"/>
      <c r="F12" s="1"/>
      <c r="G12" s="1"/>
      <c r="H12" s="1"/>
      <c r="I12" s="1"/>
      <c r="J12" s="1"/>
      <c r="K12" s="1"/>
      <c r="L12" s="1"/>
      <c r="M12" s="2"/>
      <c r="N12" s="2"/>
      <c r="R12"/>
    </row>
    <row r="13" spans="1:18" x14ac:dyDescent="0.25">
      <c r="B13" s="1" t="s">
        <v>55</v>
      </c>
      <c r="C13" s="1"/>
      <c r="D13" s="1" t="s">
        <v>56</v>
      </c>
      <c r="E13" s="1"/>
      <c r="F13" s="1"/>
      <c r="G13" s="1"/>
      <c r="H13" s="1"/>
      <c r="I13" s="1"/>
      <c r="J13" s="1"/>
      <c r="K13" s="1"/>
      <c r="L13" s="1"/>
      <c r="M13" s="2"/>
      <c r="N13" s="2"/>
      <c r="R13"/>
    </row>
    <row r="14" spans="1:18" x14ac:dyDescent="0.25">
      <c r="B14" s="1" t="s">
        <v>57</v>
      </c>
      <c r="C14" s="1"/>
      <c r="D14" s="1" t="s">
        <v>58</v>
      </c>
      <c r="E14" s="1"/>
      <c r="F14" s="1"/>
      <c r="G14" s="1"/>
      <c r="H14" s="1"/>
      <c r="I14" s="1"/>
      <c r="J14" s="1"/>
      <c r="K14" s="1"/>
      <c r="L14" s="1"/>
      <c r="R14"/>
    </row>
  </sheetData>
  <mergeCells count="6">
    <mergeCell ref="B12:C12"/>
    <mergeCell ref="D12:L12"/>
    <mergeCell ref="B13:C13"/>
    <mergeCell ref="D13:L13"/>
    <mergeCell ref="B14:C14"/>
    <mergeCell ref="D14:L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BC83-54E1-4E48-BFEA-B059164966C3}">
  <dimension ref="A1:Z2"/>
  <sheetViews>
    <sheetView topLeftCell="B1" workbookViewId="0">
      <selection activeCell="W8" sqref="W8"/>
    </sheetView>
  </sheetViews>
  <sheetFormatPr defaultRowHeight="15" x14ac:dyDescent="0.25"/>
  <cols>
    <col min="1" max="2" width="19.7109375" customWidth="1"/>
    <col min="3" max="26" width="10.7109375" customWidth="1"/>
  </cols>
  <sheetData>
    <row r="1" spans="1:26" x14ac:dyDescent="0.25">
      <c r="A1" s="6" t="s">
        <v>34</v>
      </c>
      <c r="B1" s="6" t="s">
        <v>34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  <c r="O1" s="4" t="s">
        <v>71</v>
      </c>
      <c r="P1" s="4" t="s">
        <v>72</v>
      </c>
      <c r="Q1" s="4" t="s">
        <v>73</v>
      </c>
      <c r="R1" s="4" t="s">
        <v>74</v>
      </c>
      <c r="S1" s="4" t="s">
        <v>75</v>
      </c>
      <c r="T1" s="4" t="s">
        <v>76</v>
      </c>
      <c r="U1" s="4" t="s">
        <v>77</v>
      </c>
      <c r="V1" s="4" t="s">
        <v>78</v>
      </c>
      <c r="W1" s="4" t="s">
        <v>79</v>
      </c>
      <c r="X1" s="4" t="s">
        <v>81</v>
      </c>
      <c r="Y1" s="4" t="s">
        <v>80</v>
      </c>
      <c r="Z1" s="4" t="s">
        <v>82</v>
      </c>
    </row>
    <row r="2" spans="1:26" x14ac:dyDescent="0.25">
      <c r="A2" s="6"/>
      <c r="B2" s="6">
        <v>1</v>
      </c>
      <c r="C2" s="5">
        <v>3</v>
      </c>
      <c r="D2" s="5">
        <v>1</v>
      </c>
      <c r="E2" s="5">
        <v>2</v>
      </c>
      <c r="F2" s="5">
        <v>5</v>
      </c>
      <c r="G2" s="5">
        <v>3</v>
      </c>
      <c r="H2" s="5">
        <v>2</v>
      </c>
      <c r="I2" s="5">
        <v>3</v>
      </c>
      <c r="J2" s="5">
        <v>1</v>
      </c>
      <c r="K2" s="5">
        <v>2</v>
      </c>
      <c r="L2" s="5">
        <v>5</v>
      </c>
      <c r="M2" s="5">
        <v>3</v>
      </c>
      <c r="N2" s="5">
        <v>2</v>
      </c>
      <c r="O2" s="5">
        <v>3</v>
      </c>
      <c r="P2" s="5">
        <v>1</v>
      </c>
      <c r="Q2" s="5">
        <v>2</v>
      </c>
      <c r="R2" s="5">
        <v>3</v>
      </c>
      <c r="S2" s="5">
        <v>1</v>
      </c>
      <c r="T2" s="5">
        <v>2</v>
      </c>
      <c r="U2" s="5">
        <v>3</v>
      </c>
      <c r="V2" s="5">
        <v>1</v>
      </c>
      <c r="W2" s="5">
        <v>2</v>
      </c>
      <c r="X2" s="5">
        <v>3</v>
      </c>
      <c r="Y2" s="5">
        <v>1</v>
      </c>
      <c r="Z2" s="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CE2B-F30E-44D8-BE67-78B9345F55C9}">
  <dimension ref="C1:K6"/>
  <sheetViews>
    <sheetView workbookViewId="0">
      <selection activeCell="J19" sqref="J19"/>
    </sheetView>
  </sheetViews>
  <sheetFormatPr defaultRowHeight="15" x14ac:dyDescent="0.25"/>
  <cols>
    <col min="3" max="11" width="30.7109375" customWidth="1"/>
  </cols>
  <sheetData>
    <row r="1" spans="3:11" x14ac:dyDescent="0.25">
      <c r="C1" t="s">
        <v>83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</row>
    <row r="2" spans="3:11" x14ac:dyDescent="0.25"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</row>
    <row r="6" spans="3:11" x14ac:dyDescent="0.25">
      <c r="E6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8252-9AEC-4713-86D3-7CA385890555}">
  <dimension ref="D1:L2"/>
  <sheetViews>
    <sheetView workbookViewId="0">
      <selection activeCell="Q17" sqref="Q17"/>
    </sheetView>
  </sheetViews>
  <sheetFormatPr defaultRowHeight="15" x14ac:dyDescent="0.25"/>
  <cols>
    <col min="4" max="4" width="22.85546875" bestFit="1" customWidth="1"/>
    <col min="6" max="6" width="21.5703125" customWidth="1"/>
    <col min="10" max="10" width="19.140625" bestFit="1" customWidth="1"/>
    <col min="11" max="11" width="14.140625" customWidth="1"/>
  </cols>
  <sheetData>
    <row r="1" spans="4:12" x14ac:dyDescent="0.25">
      <c r="D1" t="s">
        <v>93</v>
      </c>
      <c r="E1" t="s">
        <v>97</v>
      </c>
      <c r="F1" t="s">
        <v>96</v>
      </c>
      <c r="J1" t="s">
        <v>93</v>
      </c>
      <c r="K1" t="s">
        <v>97</v>
      </c>
      <c r="L1" t="s">
        <v>96</v>
      </c>
    </row>
    <row r="2" spans="4:12" x14ac:dyDescent="0.25">
      <c r="D2" t="s">
        <v>95</v>
      </c>
      <c r="E2" t="s">
        <v>98</v>
      </c>
      <c r="F2" t="s">
        <v>95</v>
      </c>
      <c r="J2" t="s">
        <v>95</v>
      </c>
      <c r="K2" t="s">
        <v>98</v>
      </c>
      <c r="L2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2638-E28B-437B-911E-974119DA51B1}">
  <dimension ref="B2:K44"/>
  <sheetViews>
    <sheetView workbookViewId="0">
      <selection activeCell="H30" sqref="H30"/>
    </sheetView>
  </sheetViews>
  <sheetFormatPr defaultRowHeight="15" x14ac:dyDescent="0.25"/>
  <sheetData>
    <row r="2" spans="2:11" x14ac:dyDescent="0.25">
      <c r="B2" s="6" t="s">
        <v>99</v>
      </c>
      <c r="C2" s="6" t="s">
        <v>100</v>
      </c>
      <c r="D2" s="6" t="s">
        <v>102</v>
      </c>
      <c r="E2" s="6" t="s">
        <v>101</v>
      </c>
      <c r="F2" s="6" t="s">
        <v>103</v>
      </c>
      <c r="G2" s="6" t="s">
        <v>104</v>
      </c>
      <c r="H2" s="6" t="s">
        <v>105</v>
      </c>
      <c r="I2" s="6" t="s">
        <v>106</v>
      </c>
      <c r="J2" s="6" t="s">
        <v>107</v>
      </c>
      <c r="K2" s="6" t="s">
        <v>108</v>
      </c>
    </row>
    <row r="3" spans="2:11" x14ac:dyDescent="0.25">
      <c r="B3" s="8">
        <v>0</v>
      </c>
      <c r="C3" s="6">
        <v>500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</row>
    <row r="4" spans="2:11" x14ac:dyDescent="0.25">
      <c r="B4" s="8"/>
      <c r="C4" s="6">
        <v>525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</row>
    <row r="5" spans="2:11" x14ac:dyDescent="0.25">
      <c r="B5" s="8"/>
      <c r="C5" s="6">
        <v>550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</row>
    <row r="6" spans="2:11" x14ac:dyDescent="0.25">
      <c r="B6" s="8"/>
      <c r="C6" s="6">
        <v>575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</row>
    <row r="7" spans="2:11" x14ac:dyDescent="0.25">
      <c r="B7" s="8"/>
      <c r="C7" s="6">
        <v>600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</row>
    <row r="8" spans="2:11" x14ac:dyDescent="0.25">
      <c r="B8" s="8"/>
      <c r="C8" s="6">
        <v>625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</row>
    <row r="9" spans="2:11" x14ac:dyDescent="0.25">
      <c r="B9" s="8"/>
      <c r="C9" s="6">
        <v>650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</row>
    <row r="10" spans="2:11" x14ac:dyDescent="0.25">
      <c r="B10" s="8"/>
      <c r="C10" s="6">
        <v>675</v>
      </c>
      <c r="D10" s="6">
        <v>3</v>
      </c>
      <c r="E10" s="6">
        <v>3</v>
      </c>
      <c r="F10" s="6">
        <v>3</v>
      </c>
      <c r="G10" s="6">
        <v>3</v>
      </c>
      <c r="H10" s="6">
        <v>3</v>
      </c>
      <c r="I10" s="6">
        <v>3</v>
      </c>
      <c r="J10" s="6">
        <v>3</v>
      </c>
      <c r="K10" s="6">
        <v>3</v>
      </c>
    </row>
    <row r="11" spans="2:11" x14ac:dyDescent="0.25">
      <c r="B11" s="8"/>
      <c r="C11" s="6">
        <v>700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</row>
    <row r="12" spans="2:11" x14ac:dyDescent="0.25">
      <c r="B12" s="8"/>
      <c r="C12" s="6">
        <v>725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</row>
    <row r="13" spans="2:11" x14ac:dyDescent="0.25">
      <c r="B13" s="8"/>
      <c r="C13" s="6">
        <v>750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</row>
    <row r="14" spans="2:11" x14ac:dyDescent="0.25">
      <c r="B14" s="8"/>
      <c r="C14" s="6">
        <v>775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</row>
    <row r="15" spans="2:11" x14ac:dyDescent="0.25">
      <c r="B15" s="8"/>
      <c r="C15" s="6">
        <v>800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</row>
    <row r="16" spans="2:11" x14ac:dyDescent="0.25">
      <c r="B16" s="8"/>
      <c r="C16" s="6">
        <v>825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r="17" spans="2:11" x14ac:dyDescent="0.25">
      <c r="B17" s="8"/>
      <c r="C17" s="6">
        <v>850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</row>
    <row r="18" spans="2:11" x14ac:dyDescent="0.25">
      <c r="B18" s="8"/>
      <c r="C18" s="6">
        <v>875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</row>
    <row r="19" spans="2:11" x14ac:dyDescent="0.25">
      <c r="B19" s="8"/>
      <c r="C19" s="6">
        <v>900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</row>
    <row r="20" spans="2:11" x14ac:dyDescent="0.25">
      <c r="B20" s="8"/>
      <c r="C20" s="6">
        <v>925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</row>
    <row r="21" spans="2:11" x14ac:dyDescent="0.25">
      <c r="B21" s="8"/>
      <c r="C21" s="6">
        <v>950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</row>
    <row r="22" spans="2:11" x14ac:dyDescent="0.25">
      <c r="B22" s="8"/>
      <c r="C22" s="6">
        <v>975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</row>
    <row r="23" spans="2:11" x14ac:dyDescent="0.25">
      <c r="B23" s="8"/>
      <c r="C23" s="6">
        <v>1000</v>
      </c>
      <c r="D23" s="6">
        <v>2</v>
      </c>
      <c r="E23" s="6">
        <v>2</v>
      </c>
      <c r="F23" s="6">
        <v>2</v>
      </c>
      <c r="G23" s="6">
        <v>2</v>
      </c>
      <c r="H23" s="6">
        <v>2</v>
      </c>
      <c r="I23" s="6">
        <v>2</v>
      </c>
      <c r="J23" s="6">
        <v>2</v>
      </c>
      <c r="K23" s="6">
        <v>2</v>
      </c>
    </row>
    <row r="24" spans="2:11" x14ac:dyDescent="0.25">
      <c r="B24" s="8">
        <v>1</v>
      </c>
      <c r="C24" s="6">
        <v>1000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</row>
    <row r="25" spans="2:11" x14ac:dyDescent="0.25">
      <c r="B25" s="8"/>
      <c r="C25" s="6">
        <f>C24+25</f>
        <v>1025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</row>
    <row r="26" spans="2:11" x14ac:dyDescent="0.25">
      <c r="B26" s="8"/>
      <c r="C26" s="6">
        <v>1050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</row>
    <row r="27" spans="2:11" x14ac:dyDescent="0.25">
      <c r="B27" s="8"/>
      <c r="C27" s="6">
        <f>C26+25</f>
        <v>1075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</row>
    <row r="28" spans="2:11" x14ac:dyDescent="0.25">
      <c r="B28" s="8"/>
      <c r="C28" s="6">
        <f t="shared" ref="C28:C44" si="0">C27+25</f>
        <v>1100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</row>
    <row r="29" spans="2:11" x14ac:dyDescent="0.25">
      <c r="B29" s="8"/>
      <c r="C29" s="6">
        <f t="shared" si="0"/>
        <v>1125</v>
      </c>
      <c r="D29" s="6">
        <v>2</v>
      </c>
      <c r="E29" s="6">
        <v>2</v>
      </c>
      <c r="F29" s="6">
        <v>2</v>
      </c>
      <c r="G29" s="6">
        <v>2</v>
      </c>
      <c r="H29" s="6">
        <v>2</v>
      </c>
      <c r="I29" s="6">
        <v>2</v>
      </c>
      <c r="J29" s="6">
        <v>2</v>
      </c>
      <c r="K29" s="6">
        <v>2</v>
      </c>
    </row>
    <row r="30" spans="2:11" x14ac:dyDescent="0.25">
      <c r="B30" s="8"/>
      <c r="C30" s="6">
        <f t="shared" si="0"/>
        <v>1150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</row>
    <row r="31" spans="2:11" x14ac:dyDescent="0.25">
      <c r="B31" s="8"/>
      <c r="C31" s="6">
        <f t="shared" si="0"/>
        <v>1175</v>
      </c>
      <c r="D31" s="6">
        <v>3</v>
      </c>
      <c r="E31" s="6">
        <v>3</v>
      </c>
      <c r="F31" s="6">
        <v>3</v>
      </c>
      <c r="G31" s="6">
        <v>3</v>
      </c>
      <c r="H31" s="6">
        <v>3</v>
      </c>
      <c r="I31" s="6">
        <v>3</v>
      </c>
      <c r="J31" s="6">
        <v>3</v>
      </c>
      <c r="K31" s="6">
        <v>3</v>
      </c>
    </row>
    <row r="32" spans="2:11" x14ac:dyDescent="0.25">
      <c r="B32" s="8"/>
      <c r="C32" s="6">
        <f t="shared" si="0"/>
        <v>1200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</row>
    <row r="33" spans="2:11" x14ac:dyDescent="0.25">
      <c r="B33" s="8"/>
      <c r="C33" s="6">
        <f t="shared" si="0"/>
        <v>1225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</row>
    <row r="34" spans="2:11" x14ac:dyDescent="0.25">
      <c r="B34" s="8"/>
      <c r="C34" s="6">
        <f t="shared" si="0"/>
        <v>1250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r="35" spans="2:11" x14ac:dyDescent="0.25">
      <c r="B35" s="8"/>
      <c r="C35" s="6">
        <f t="shared" si="0"/>
        <v>1275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r="36" spans="2:11" x14ac:dyDescent="0.25">
      <c r="B36" s="8"/>
      <c r="C36" s="6">
        <f t="shared" si="0"/>
        <v>1300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2:11" x14ac:dyDescent="0.25">
      <c r="B37" s="8"/>
      <c r="C37" s="6">
        <f t="shared" si="0"/>
        <v>1325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</row>
    <row r="38" spans="2:11" x14ac:dyDescent="0.25">
      <c r="B38" s="8"/>
      <c r="C38" s="6">
        <f t="shared" si="0"/>
        <v>1350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</row>
    <row r="39" spans="2:11" x14ac:dyDescent="0.25">
      <c r="B39" s="8"/>
      <c r="C39" s="6">
        <f t="shared" si="0"/>
        <v>1375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</row>
    <row r="40" spans="2:11" x14ac:dyDescent="0.25">
      <c r="B40" s="8"/>
      <c r="C40" s="6">
        <f t="shared" si="0"/>
        <v>1400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</row>
    <row r="41" spans="2:11" x14ac:dyDescent="0.25">
      <c r="B41" s="8"/>
      <c r="C41" s="6">
        <f t="shared" si="0"/>
        <v>1425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</row>
    <row r="42" spans="2:11" x14ac:dyDescent="0.25">
      <c r="B42" s="8"/>
      <c r="C42" s="6">
        <f t="shared" si="0"/>
        <v>1450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</row>
    <row r="43" spans="2:11" x14ac:dyDescent="0.25">
      <c r="B43" s="8"/>
      <c r="C43" s="6">
        <f t="shared" si="0"/>
        <v>1475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</row>
    <row r="44" spans="2:11" x14ac:dyDescent="0.25">
      <c r="B44" s="8"/>
      <c r="C44" s="6">
        <f t="shared" si="0"/>
        <v>1500</v>
      </c>
      <c r="D44" s="6">
        <v>2</v>
      </c>
      <c r="E44" s="6">
        <v>2</v>
      </c>
      <c r="F44" s="6">
        <v>2</v>
      </c>
      <c r="G44" s="6">
        <v>2</v>
      </c>
      <c r="H44" s="6">
        <v>2</v>
      </c>
      <c r="I44" s="6">
        <v>2</v>
      </c>
      <c r="J44" s="6">
        <v>2</v>
      </c>
      <c r="K44" s="6">
        <v>2</v>
      </c>
    </row>
  </sheetData>
  <mergeCells count="2">
    <mergeCell ref="B3:B23"/>
    <mergeCell ref="B24:B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A1D5-803F-4195-AC50-CD64B525EB4C}">
  <dimension ref="B2:I44"/>
  <sheetViews>
    <sheetView tabSelected="1" workbookViewId="0">
      <selection activeCell="AM14" sqref="AM14"/>
    </sheetView>
  </sheetViews>
  <sheetFormatPr defaultRowHeight="15" x14ac:dyDescent="0.25"/>
  <sheetData>
    <row r="2" spans="2:9" x14ac:dyDescent="0.25">
      <c r="B2" s="6" t="s">
        <v>99</v>
      </c>
      <c r="C2" s="6" t="s">
        <v>100</v>
      </c>
      <c r="D2" s="6" t="s">
        <v>109</v>
      </c>
      <c r="E2" s="6" t="s">
        <v>110</v>
      </c>
      <c r="F2" s="6" t="s">
        <v>111</v>
      </c>
      <c r="G2" s="6" t="s">
        <v>112</v>
      </c>
      <c r="H2" s="6" t="s">
        <v>113</v>
      </c>
      <c r="I2" s="6" t="s">
        <v>114</v>
      </c>
    </row>
    <row r="3" spans="2:9" x14ac:dyDescent="0.25">
      <c r="B3" s="9">
        <v>0</v>
      </c>
      <c r="C3" s="10">
        <v>500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</row>
    <row r="4" spans="2:9" x14ac:dyDescent="0.25">
      <c r="B4" s="9"/>
      <c r="C4" s="10">
        <v>525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</row>
    <row r="5" spans="2:9" x14ac:dyDescent="0.25">
      <c r="B5" s="9"/>
      <c r="C5" s="10">
        <v>550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</row>
    <row r="6" spans="2:9" x14ac:dyDescent="0.25">
      <c r="B6" s="9"/>
      <c r="C6" s="10">
        <v>575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</row>
    <row r="7" spans="2:9" x14ac:dyDescent="0.25">
      <c r="B7" s="9"/>
      <c r="C7" s="10">
        <v>600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</row>
    <row r="8" spans="2:9" x14ac:dyDescent="0.25">
      <c r="B8" s="9"/>
      <c r="C8" s="10">
        <v>625</v>
      </c>
      <c r="D8" s="10">
        <v>2</v>
      </c>
      <c r="E8" s="10">
        <v>2</v>
      </c>
      <c r="F8" s="10">
        <v>2</v>
      </c>
      <c r="G8" s="10">
        <v>2</v>
      </c>
      <c r="H8" s="10">
        <v>2</v>
      </c>
      <c r="I8" s="10">
        <v>2</v>
      </c>
    </row>
    <row r="9" spans="2:9" x14ac:dyDescent="0.25">
      <c r="B9" s="9"/>
      <c r="C9" s="10">
        <v>650</v>
      </c>
      <c r="D9" s="10">
        <v>1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</row>
    <row r="10" spans="2:9" x14ac:dyDescent="0.25">
      <c r="B10" s="9"/>
      <c r="C10" s="10">
        <v>675</v>
      </c>
      <c r="D10" s="10">
        <v>3</v>
      </c>
      <c r="E10" s="10">
        <v>3</v>
      </c>
      <c r="F10" s="10">
        <v>3</v>
      </c>
      <c r="G10" s="10">
        <v>3</v>
      </c>
      <c r="H10" s="10">
        <v>3</v>
      </c>
      <c r="I10" s="10">
        <v>3</v>
      </c>
    </row>
    <row r="11" spans="2:9" x14ac:dyDescent="0.25">
      <c r="B11" s="9"/>
      <c r="C11" s="10">
        <v>700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</row>
    <row r="12" spans="2:9" x14ac:dyDescent="0.25">
      <c r="B12" s="9"/>
      <c r="C12" s="10">
        <v>725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2:9" x14ac:dyDescent="0.25">
      <c r="B13" s="9"/>
      <c r="C13" s="10">
        <v>750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</row>
    <row r="14" spans="2:9" x14ac:dyDescent="0.25">
      <c r="B14" s="9"/>
      <c r="C14" s="10">
        <v>775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</row>
    <row r="15" spans="2:9" x14ac:dyDescent="0.25">
      <c r="B15" s="9"/>
      <c r="C15" s="10">
        <v>800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</row>
    <row r="16" spans="2:9" x14ac:dyDescent="0.25">
      <c r="B16" s="9"/>
      <c r="C16" s="10">
        <v>825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</row>
    <row r="17" spans="2:9" x14ac:dyDescent="0.25">
      <c r="B17" s="9"/>
      <c r="C17" s="10">
        <v>850</v>
      </c>
      <c r="D17" s="10">
        <v>1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</row>
    <row r="18" spans="2:9" x14ac:dyDescent="0.25">
      <c r="B18" s="9"/>
      <c r="C18" s="10">
        <v>875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</row>
    <row r="19" spans="2:9" x14ac:dyDescent="0.25">
      <c r="B19" s="9"/>
      <c r="C19" s="10">
        <v>900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</row>
    <row r="20" spans="2:9" x14ac:dyDescent="0.25">
      <c r="B20" s="9"/>
      <c r="C20" s="10">
        <v>925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</row>
    <row r="21" spans="2:9" x14ac:dyDescent="0.25">
      <c r="B21" s="9"/>
      <c r="C21" s="10">
        <v>950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</row>
    <row r="22" spans="2:9" x14ac:dyDescent="0.25">
      <c r="B22" s="9"/>
      <c r="C22" s="10">
        <v>975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</row>
    <row r="23" spans="2:9" x14ac:dyDescent="0.25">
      <c r="B23" s="9"/>
      <c r="C23" s="10">
        <v>1000</v>
      </c>
      <c r="D23" s="10">
        <v>2</v>
      </c>
      <c r="E23" s="10">
        <v>2</v>
      </c>
      <c r="F23" s="10">
        <v>2</v>
      </c>
      <c r="G23" s="10">
        <v>2</v>
      </c>
      <c r="H23" s="10">
        <v>2</v>
      </c>
      <c r="I23" s="10">
        <v>2</v>
      </c>
    </row>
    <row r="24" spans="2:9" x14ac:dyDescent="0.25">
      <c r="B24" s="11">
        <v>1</v>
      </c>
      <c r="C24" s="12">
        <v>1000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</row>
    <row r="25" spans="2:9" x14ac:dyDescent="0.25">
      <c r="B25" s="11"/>
      <c r="C25" s="12">
        <f>C24+25</f>
        <v>1025</v>
      </c>
      <c r="D25" s="12">
        <v>1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</row>
    <row r="26" spans="2:9" x14ac:dyDescent="0.25">
      <c r="B26" s="11"/>
      <c r="C26" s="12">
        <v>1050</v>
      </c>
      <c r="D26" s="12">
        <v>1</v>
      </c>
      <c r="E26" s="12">
        <v>1</v>
      </c>
      <c r="F26" s="12">
        <v>1</v>
      </c>
      <c r="G26" s="12">
        <v>1</v>
      </c>
      <c r="H26" s="12">
        <v>1</v>
      </c>
      <c r="I26" s="12">
        <v>1</v>
      </c>
    </row>
    <row r="27" spans="2:9" x14ac:dyDescent="0.25">
      <c r="B27" s="11"/>
      <c r="C27" s="12">
        <f>C26+25</f>
        <v>1075</v>
      </c>
      <c r="D27" s="12">
        <v>1</v>
      </c>
      <c r="E27" s="12">
        <v>1</v>
      </c>
      <c r="F27" s="12">
        <v>1</v>
      </c>
      <c r="G27" s="12">
        <v>1</v>
      </c>
      <c r="H27" s="12">
        <v>1</v>
      </c>
      <c r="I27" s="12">
        <v>1</v>
      </c>
    </row>
    <row r="28" spans="2:9" x14ac:dyDescent="0.25">
      <c r="B28" s="11"/>
      <c r="C28" s="12">
        <f t="shared" ref="C28:C44" si="0">C27+25</f>
        <v>1100</v>
      </c>
      <c r="D28" s="12">
        <v>1</v>
      </c>
      <c r="E28" s="12">
        <v>1</v>
      </c>
      <c r="F28" s="12">
        <v>1</v>
      </c>
      <c r="G28" s="12">
        <v>1</v>
      </c>
      <c r="H28" s="12">
        <v>1</v>
      </c>
      <c r="I28" s="12">
        <v>1</v>
      </c>
    </row>
    <row r="29" spans="2:9" x14ac:dyDescent="0.25">
      <c r="B29" s="11"/>
      <c r="C29" s="12">
        <f t="shared" si="0"/>
        <v>1125</v>
      </c>
      <c r="D29" s="12">
        <v>2</v>
      </c>
      <c r="E29" s="12">
        <v>2</v>
      </c>
      <c r="F29" s="12">
        <v>2</v>
      </c>
      <c r="G29" s="12">
        <v>2</v>
      </c>
      <c r="H29" s="12">
        <v>2</v>
      </c>
      <c r="I29" s="12">
        <v>2</v>
      </c>
    </row>
    <row r="30" spans="2:9" x14ac:dyDescent="0.25">
      <c r="B30" s="11"/>
      <c r="C30" s="12">
        <f t="shared" si="0"/>
        <v>1150</v>
      </c>
      <c r="D30" s="12">
        <v>1</v>
      </c>
      <c r="E30" s="12">
        <v>1</v>
      </c>
      <c r="F30" s="12">
        <v>1</v>
      </c>
      <c r="G30" s="12">
        <v>1</v>
      </c>
      <c r="H30" s="12">
        <v>1</v>
      </c>
      <c r="I30" s="12">
        <v>1</v>
      </c>
    </row>
    <row r="31" spans="2:9" x14ac:dyDescent="0.25">
      <c r="B31" s="11"/>
      <c r="C31" s="12">
        <f t="shared" si="0"/>
        <v>1175</v>
      </c>
      <c r="D31" s="12">
        <v>3</v>
      </c>
      <c r="E31" s="12">
        <v>3</v>
      </c>
      <c r="F31" s="12">
        <v>3</v>
      </c>
      <c r="G31" s="12">
        <v>3</v>
      </c>
      <c r="H31" s="12">
        <v>3</v>
      </c>
      <c r="I31" s="12">
        <v>3</v>
      </c>
    </row>
    <row r="32" spans="2:9" x14ac:dyDescent="0.25">
      <c r="B32" s="11"/>
      <c r="C32" s="12">
        <f t="shared" si="0"/>
        <v>1200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</row>
    <row r="33" spans="2:9" x14ac:dyDescent="0.25">
      <c r="B33" s="11"/>
      <c r="C33" s="12">
        <f t="shared" si="0"/>
        <v>1225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 spans="2:9" x14ac:dyDescent="0.25">
      <c r="B34" s="11"/>
      <c r="C34" s="12">
        <f t="shared" si="0"/>
        <v>1250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</row>
    <row r="35" spans="2:9" x14ac:dyDescent="0.25">
      <c r="B35" s="11"/>
      <c r="C35" s="12">
        <f t="shared" si="0"/>
        <v>1275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</row>
    <row r="36" spans="2:9" x14ac:dyDescent="0.25">
      <c r="B36" s="11"/>
      <c r="C36" s="12">
        <f t="shared" si="0"/>
        <v>1300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</row>
    <row r="37" spans="2:9" x14ac:dyDescent="0.25">
      <c r="B37" s="11"/>
      <c r="C37" s="12">
        <f t="shared" si="0"/>
        <v>1325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</row>
    <row r="38" spans="2:9" x14ac:dyDescent="0.25">
      <c r="B38" s="11"/>
      <c r="C38" s="12">
        <f t="shared" si="0"/>
        <v>1350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</row>
    <row r="39" spans="2:9" x14ac:dyDescent="0.25">
      <c r="B39" s="11"/>
      <c r="C39" s="12">
        <f t="shared" si="0"/>
        <v>1375</v>
      </c>
      <c r="D39" s="12">
        <v>1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</row>
    <row r="40" spans="2:9" x14ac:dyDescent="0.25">
      <c r="B40" s="11"/>
      <c r="C40" s="12">
        <f t="shared" si="0"/>
        <v>1400</v>
      </c>
      <c r="D40" s="12">
        <v>1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</row>
    <row r="41" spans="2:9" x14ac:dyDescent="0.25">
      <c r="B41" s="11"/>
      <c r="C41" s="12">
        <f t="shared" si="0"/>
        <v>1425</v>
      </c>
      <c r="D41" s="12">
        <v>1</v>
      </c>
      <c r="E41" s="12">
        <v>1</v>
      </c>
      <c r="F41" s="12">
        <v>1</v>
      </c>
      <c r="G41" s="12">
        <v>1</v>
      </c>
      <c r="H41" s="12">
        <v>1</v>
      </c>
      <c r="I41" s="12">
        <v>1</v>
      </c>
    </row>
    <row r="42" spans="2:9" x14ac:dyDescent="0.25">
      <c r="B42" s="11"/>
      <c r="C42" s="12">
        <f t="shared" si="0"/>
        <v>1450</v>
      </c>
      <c r="D42" s="12">
        <v>1</v>
      </c>
      <c r="E42" s="12">
        <v>1</v>
      </c>
      <c r="F42" s="12">
        <v>1</v>
      </c>
      <c r="G42" s="12">
        <v>1</v>
      </c>
      <c r="H42" s="12">
        <v>1</v>
      </c>
      <c r="I42" s="12">
        <v>1</v>
      </c>
    </row>
    <row r="43" spans="2:9" x14ac:dyDescent="0.25">
      <c r="B43" s="11"/>
      <c r="C43" s="12">
        <f t="shared" si="0"/>
        <v>1475</v>
      </c>
      <c r="D43" s="12">
        <v>1</v>
      </c>
      <c r="E43" s="12">
        <v>1</v>
      </c>
      <c r="F43" s="12">
        <v>1</v>
      </c>
      <c r="G43" s="12">
        <v>1</v>
      </c>
      <c r="H43" s="12">
        <v>1</v>
      </c>
      <c r="I43" s="12">
        <v>1</v>
      </c>
    </row>
    <row r="44" spans="2:9" x14ac:dyDescent="0.25">
      <c r="B44" s="11"/>
      <c r="C44" s="12">
        <f t="shared" si="0"/>
        <v>1500</v>
      </c>
      <c r="D44" s="12">
        <v>2</v>
      </c>
      <c r="E44" s="12">
        <v>2</v>
      </c>
      <c r="F44" s="12">
        <v>2</v>
      </c>
      <c r="G44" s="12">
        <v>2</v>
      </c>
      <c r="H44" s="12">
        <v>2</v>
      </c>
      <c r="I44" s="12">
        <v>2</v>
      </c>
    </row>
  </sheetData>
  <mergeCells count="2">
    <mergeCell ref="B3:B23"/>
    <mergeCell ref="B24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ListOfAvaiabellFiletrs</vt:lpstr>
      <vt:lpstr>SystemFilters</vt:lpstr>
      <vt:lpstr>gainCalibrationTable</vt:lpstr>
      <vt:lpstr>default_threshold_table</vt:lpstr>
      <vt:lpstr>DynamicThGainPerbin</vt:lpstr>
      <vt:lpstr>AmplitudeCalibrationTable</vt:lpstr>
      <vt:lpstr>PhaseCalibTable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guyiz</dc:creator>
  <cp:lastModifiedBy>Lianne Izkovsky</cp:lastModifiedBy>
  <dcterms:created xsi:type="dcterms:W3CDTF">2015-06-05T18:17:20Z</dcterms:created>
  <dcterms:modified xsi:type="dcterms:W3CDTF">2026-06-10T20:21:29Z</dcterms:modified>
</cp:coreProperties>
</file>